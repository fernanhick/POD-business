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x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1E293B"/>
      <sz val="9"/>
    </font>
    <font>
      <name val="Arial"/>
      <color rgb="000000FF"/>
      <sz val="9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E8E8F0"/>
      </patternFill>
    </fill>
    <fill>
      <patternFill patternType="solid">
        <fgColor rgb="00F4F6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3" customWidth="1" min="4" max="4"/>
    <col width="38" customWidth="1" min="5" max="5"/>
    <col width="18" customWidth="1" min="6" max="6"/>
    <col width="16" customWidth="1" min="7" max="7"/>
    <col width="10" customWidth="1" min="8" max="8"/>
    <col width="10" customWidth="1" min="9" max="9"/>
    <col width="14" customWidth="1" min="10" max="10"/>
    <col width="13" customWidth="1" min="11" max="11"/>
    <col width="13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3" customWidth="1" min="18" max="18"/>
    <col width="10" customWidth="1" min="19" max="19"/>
    <col width="14" customWidth="1" min="20" max="20"/>
    <col width="20" customWidth="1" min="21" max="21"/>
  </cols>
  <sheetData>
    <row r="1" ht="24" customHeight="1">
      <c r="A1" s="1" t="inlineStr">
        <is>
          <t>📋  LISTING PERFORMANCE — BOTH FRONTS</t>
        </is>
      </c>
    </row>
    <row r="2" ht="18" customHeight="1">
      <c r="A2" s="2" t="inlineStr">
        <is>
          <t>Front</t>
        </is>
      </c>
      <c r="B2" s="2" t="inlineStr">
        <is>
          <t>Drop ID</t>
        </is>
      </c>
      <c r="C2" s="2" t="inlineStr">
        <is>
          <t>Etsy Listing ID</t>
        </is>
      </c>
      <c r="D2" s="2" t="inlineStr">
        <is>
          <t>Design ID</t>
        </is>
      </c>
      <c r="E2" s="2" t="inlineStr">
        <is>
          <t>Title</t>
        </is>
      </c>
      <c r="F2" s="2" t="inlineStr">
        <is>
          <t>Niche / Theme</t>
        </is>
      </c>
      <c r="G2" s="2" t="inlineStr">
        <is>
          <t>Product Type</t>
        </is>
      </c>
      <c r="H2" s="2" t="inlineStr">
        <is>
          <t>Price ($)</t>
        </is>
      </c>
      <c r="I2" s="2" t="inlineStr">
        <is>
          <t>Cost ($)</t>
        </is>
      </c>
      <c r="J2" s="2" t="inlineStr">
        <is>
          <t>Profit/Sale ($)</t>
        </is>
      </c>
      <c r="K2" s="2" t="inlineStr">
        <is>
          <t>Listed Date</t>
        </is>
      </c>
      <c r="L2" s="2" t="inlineStr">
        <is>
          <t>Impressions</t>
        </is>
      </c>
      <c r="M2" s="2" t="inlineStr">
        <is>
          <t>Clicks</t>
        </is>
      </c>
      <c r="N2" s="2" t="inlineStr">
        <is>
          <t>CTR %</t>
        </is>
      </c>
      <c r="O2" s="2" t="inlineStr">
        <is>
          <t>Sales</t>
        </is>
      </c>
      <c r="P2" s="2" t="inlineStr">
        <is>
          <t>CVR %</t>
        </is>
      </c>
      <c r="Q2" s="2" t="inlineStr">
        <is>
          <t>Revenue ($)</t>
        </is>
      </c>
      <c r="R2" s="2" t="inlineStr">
        <is>
          <t>Ad Spend ($)</t>
        </is>
      </c>
      <c r="S2" s="2" t="inlineStr">
        <is>
          <t>ROAS</t>
        </is>
      </c>
      <c r="T2" s="2" t="inlineStr">
        <is>
          <t>Status</t>
        </is>
      </c>
      <c r="U2" s="2" t="inlineStr">
        <is>
          <t>Action Flag</t>
        </is>
      </c>
    </row>
    <row r="3">
      <c r="A3" s="3" t="inlineStr">
        <is>
          <t>A</t>
        </is>
      </c>
      <c r="B3" s="3" t="inlineStr">
        <is>
          <t>DROP-01</t>
        </is>
      </c>
      <c r="C3" s="4" t="inlineStr"/>
      <c r="D3" s="5" t="inlineStr">
        <is>
          <t>DSN-A-0001</t>
        </is>
      </c>
      <c r="E3" s="4" t="inlineStr">
        <is>
          <t>Rotation Ready Shirt | Sneakerhead T Shirt | Sneaker Collector Tee</t>
        </is>
      </c>
      <c r="F3" s="5" t="inlineStr">
        <is>
          <t>Sneaker Culture</t>
        </is>
      </c>
      <c r="G3" s="4" t="inlineStr">
        <is>
          <t>Oversized Tee</t>
        </is>
      </c>
      <c r="H3" s="6" t="n">
        <v>54.99</v>
      </c>
      <c r="I3" s="7" t="n">
        <v>14.5</v>
      </c>
      <c r="J3">
        <f>H3-I3</f>
        <v/>
      </c>
      <c r="K3" s="4" t="inlineStr">
        <is>
          <t>2026-03-05</t>
        </is>
      </c>
      <c r="L3" s="5" t="n">
        <v>380</v>
      </c>
      <c r="M3" s="4" t="n">
        <v>22</v>
      </c>
      <c r="N3" s="8">
        <f>IF(L3&gt;0,M3/L3,0)</f>
        <v/>
      </c>
      <c r="O3" s="4" t="n">
        <v>3</v>
      </c>
      <c r="P3" s="8">
        <f>IF(M3&gt;0,O3/M3,0)</f>
        <v/>
      </c>
      <c r="Q3" s="7" t="n">
        <v>164.97</v>
      </c>
      <c r="R3" s="6" t="n">
        <v>2.5</v>
      </c>
      <c r="S3" s="9">
        <f>IF(R3&gt;0,Q3/R3,0)</f>
        <v/>
      </c>
      <c r="U3">
        <f>IF(L3&lt;200,"⚠️ Low Impressions",IF(N3&lt;0.005,"📸 Fix Thumbnail",IF(P3&lt;0.008,"📝 Fix Description",IF(S3&gt;0,IF(S3&lt;2,"❌ Pause Ads","✅ Scale"),"➕ Add Ads"))))</f>
        <v/>
      </c>
    </row>
  </sheetData>
  <mergeCells count="1">
    <mergeCell ref="A1:V1"/>
  </mergeCells>
  <dataValidations count="3">
    <dataValidation sqref="A3:A2000" showDropDown="0" showInputMessage="0" showErrorMessage="0" allowBlank="1" type="list">
      <formula1>"A,B"</formula1>
    </dataValidation>
    <dataValidation sqref="G3:G2000" showDropDown="0" showInputMessage="0" showErrorMessage="0" allowBlank="1" type="list">
      <formula1>"Oversized Tee,Heavyweight Hoodie,Crewneck,Dad Hat,T-Shirt,Mug,Tote Bag,Other"</formula1>
    </dataValidation>
    <dataValidation sqref="T3:T2000" showDropDown="0" showInputMessage="0" showErrorMessage="0" allowBlank="1" type="list">
      <formula1>"Live - Active,Live - Archived,Paused,Draft,Deleted"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2026-03-05T22:41:47Z</dcterms:created>
  <dcterms:modified xmlns:dcterms="http://purl.org/dc/terms/" xmlns:xsi="http://www.w3.org/2001/XMLSchema-instance" xsi:type="dcterms:W3CDTF">2026-03-05T22:41:47Z</dcterms:modified>
</cp:coreProperties>
</file>