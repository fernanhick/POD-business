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E293B"/>
      <sz val="10"/>
    </font>
    <font>
      <name val="Arial"/>
      <b val="1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8EFF8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8" customWidth="1" min="3" max="3"/>
    <col width="20" customWidth="1" min="4" max="4"/>
    <col width="32" customWidth="1" min="5" max="5"/>
    <col width="18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8" customWidth="1" min="13" max="13"/>
    <col width="18" customWidth="1" min="14" max="14"/>
    <col width="18" customWidth="1" min="15" max="15"/>
    <col width="16" customWidth="1" min="16" max="16"/>
    <col width="22" customWidth="1" min="17" max="17"/>
  </cols>
  <sheetData>
    <row r="1" ht="24" customHeight="1">
      <c r="A1" s="1" t="inlineStr">
        <is>
          <t>🎨  FRONT B — GENERALIZED DESIGN TRACKER</t>
        </is>
      </c>
    </row>
    <row r="2" ht="18" customHeight="1">
      <c r="A2" s="2" t="inlineStr">
        <is>
          <t>Design ID</t>
        </is>
      </c>
      <c r="B2" s="2" t="inlineStr">
        <is>
          <t>Filename</t>
        </is>
      </c>
      <c r="C2" s="2" t="inlineStr">
        <is>
          <t>Niche</t>
        </is>
      </c>
      <c r="D2" s="2" t="inlineStr">
        <is>
          <t>Sub-Niche</t>
        </is>
      </c>
      <c r="E2" s="2" t="inlineStr">
        <is>
          <t>Phrase / Concept</t>
        </is>
      </c>
      <c r="F2" s="2" t="inlineStr">
        <is>
          <t>Style</t>
        </is>
      </c>
      <c r="G2" s="2" t="inlineStr">
        <is>
          <t>Date Created</t>
        </is>
      </c>
      <c r="H2" s="2" t="inlineStr">
        <is>
          <t>Resolution</t>
        </is>
      </c>
      <c r="I2" s="2" t="inlineStr">
        <is>
          <t>Contrast OK?</t>
        </is>
      </c>
      <c r="J2" s="2" t="inlineStr">
        <is>
          <t>TM Checked?</t>
        </is>
      </c>
      <c r="K2" s="2" t="inlineStr">
        <is>
          <t>IP Risk</t>
        </is>
      </c>
      <c r="L2" s="2" t="inlineStr">
        <is>
          <t>Approved?</t>
        </is>
      </c>
      <c r="M2" s="2" t="inlineStr">
        <is>
          <t>Printify Image ID</t>
        </is>
      </c>
      <c r="N2" s="2" t="inlineStr">
        <is>
          <t>Printify Product ID</t>
        </is>
      </c>
      <c r="O2" s="2" t="inlineStr">
        <is>
          <t>Etsy Listing ID</t>
        </is>
      </c>
      <c r="P2" s="2" t="inlineStr">
        <is>
          <t>Status</t>
        </is>
      </c>
      <c r="Q2" s="2" t="inlineStr">
        <is>
          <t>Notes</t>
        </is>
      </c>
    </row>
  </sheetData>
  <mergeCells count="1">
    <mergeCell ref="A1:Q1"/>
  </mergeCells>
  <dataValidations count="5">
    <dataValidation sqref="I3:I2000" showDropDown="0" showInputMessage="0" showErrorMessage="0" allowBlank="1" type="list">
      <formula1>"YES,NO,CHECK"</formula1>
    </dataValidation>
    <dataValidation sqref="J3:J2000" showDropDown="0" showInputMessage="0" showErrorMessage="0" allowBlank="1" type="list">
      <formula1>"YES,NO,PENDING"</formula1>
    </dataValidation>
    <dataValidation sqref="K3:K2000" showDropDown="0" showInputMessage="0" showErrorMessage="0" allowBlank="1" type="list">
      <formula1>"LOW,MEDIUM,HIGH,BLOCKED"</formula1>
    </dataValidation>
    <dataValidation sqref="L3:L2000" showDropDown="0" showInputMessage="0" showErrorMessage="0" allowBlank="1" type="list">
      <formula1>"YES,NO,REVIEW"</formula1>
    </dataValidation>
    <dataValidation sqref="P3:P2000" showDropDown="0" showInputMessage="0" showErrorMessage="0" allowBlank="1" type="list">
      <formula1>"Pending Upload,Uploaded,Live on Etsy,Paused,Rejected,Deleted"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 ht="24" customHeight="1">
      <c r="A1" s="1" t="inlineStr">
        <is>
          <t>📊  FRONT B SUMMARY</t>
        </is>
      </c>
    </row>
    <row r="3">
      <c r="A3" s="4" t="inlineStr">
        <is>
          <t>Total Designs</t>
        </is>
      </c>
      <c r="B3" s="5">
        <f>COUNTA(Designs!A3:A2000)</f>
        <v/>
      </c>
    </row>
    <row r="4">
      <c r="A4" s="4" t="inlineStr">
        <is>
          <t>Approved</t>
        </is>
      </c>
      <c r="B4" s="5">
        <f>COUNTIF(Designs!L3:L2000,"YES")</f>
        <v/>
      </c>
    </row>
    <row r="5">
      <c r="A5" s="4" t="inlineStr">
        <is>
          <t>Pending Review</t>
        </is>
      </c>
      <c r="B5" s="5">
        <f>COUNTIF(Designs!L3:L2000,"REVIEW")</f>
        <v/>
      </c>
    </row>
    <row r="6">
      <c r="A6" s="4" t="inlineStr">
        <is>
          <t>Live on Etsy</t>
        </is>
      </c>
      <c r="B6" s="5">
        <f>COUNTIF(Designs!P3:P2000,"Live on Etsy")</f>
        <v/>
      </c>
    </row>
    <row r="7">
      <c r="A7" s="4" t="inlineStr">
        <is>
          <t>High IP Risk</t>
        </is>
      </c>
      <c r="B7" s="5">
        <f>COUNTIF(Designs!K3:K2000,"HIGH")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2026-03-05T22:41:47Z</dcterms:created>
  <dcterms:modified xmlns:dcterms="http://purl.org/dc/terms/" xmlns:xsi="http://www.w3.org/2001/XMLSchema-instance" xsi:type="dcterms:W3CDTF">2026-03-06T01:15:22Z</dcterms:modified>
</cp:coreProperties>
</file>