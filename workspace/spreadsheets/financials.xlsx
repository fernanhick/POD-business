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Tax Pr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color rgb="000000FF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b val="1"/>
      <color rgb="000000FF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E8E8F0"/>
      </patternFill>
    </fill>
    <fill>
      <patternFill patternType="solid">
        <fgColor rgb="00E8EFF8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0" customWidth="1" min="4" max="4"/>
    <col width="35" customWidth="1" min="5" max="5"/>
    <col width="13" customWidth="1" min="6" max="6"/>
    <col width="16" customWidth="1" min="7" max="7"/>
    <col width="12" customWidth="1" min="8" max="8"/>
    <col width="25" customWidth="1" min="9" max="9"/>
  </cols>
  <sheetData>
    <row r="1" ht="24" customHeight="1">
      <c r="A1" s="1" t="inlineStr">
        <is>
          <t>🧾  EXPENSES TRACKER — BOTH FRONTS</t>
        </is>
      </c>
    </row>
    <row r="2" ht="18" customHeight="1">
      <c r="A2" s="2" t="inlineStr">
        <is>
          <t>Expense ID</t>
        </is>
      </c>
      <c r="B2" s="2" t="inlineStr">
        <is>
          <t>Date</t>
        </is>
      </c>
      <c r="C2" s="2" t="inlineStr">
        <is>
          <t>Front</t>
        </is>
      </c>
      <c r="D2" s="2" t="inlineStr">
        <is>
          <t>Category</t>
        </is>
      </c>
      <c r="E2" s="2" t="inlineStr">
        <is>
          <t>Description</t>
        </is>
      </c>
      <c r="F2" s="2" t="inlineStr">
        <is>
          <t>Amount ($)</t>
        </is>
      </c>
      <c r="G2" s="2" t="inlineStr">
        <is>
          <t>Tax Deductible?</t>
        </is>
      </c>
      <c r="H2" s="2" t="inlineStr">
        <is>
          <t>Receipt?</t>
        </is>
      </c>
      <c r="I2" s="2" t="inlineStr">
        <is>
          <t>Notes</t>
        </is>
      </c>
    </row>
    <row r="3">
      <c r="A3" s="3" t="inlineStr">
        <is>
          <t>EXP-001</t>
        </is>
      </c>
      <c r="B3" s="3" t="inlineStr">
        <is>
          <t>2026-03-05</t>
        </is>
      </c>
      <c r="C3" s="3" t="inlineStr">
        <is>
          <t>A</t>
        </is>
      </c>
      <c r="D3" s="3" t="inlineStr">
        <is>
          <t>Listing Fees</t>
        </is>
      </c>
      <c r="E3" s="3" t="inlineStr">
        <is>
          <t>Front A — 10 listings</t>
        </is>
      </c>
      <c r="F3" s="4" t="n">
        <v>2</v>
      </c>
      <c r="G3" s="3" t="inlineStr">
        <is>
          <t>YES</t>
        </is>
      </c>
      <c r="H3" s="3" t="inlineStr">
        <is>
          <t>NO</t>
        </is>
      </c>
      <c r="I3" s="3" t="inlineStr"/>
    </row>
    <row r="4">
      <c r="A4" s="5" t="inlineStr">
        <is>
          <t>EXP-002</t>
        </is>
      </c>
      <c r="B4" s="5" t="inlineStr">
        <is>
          <t>2026-03-05</t>
        </is>
      </c>
      <c r="C4" s="5" t="inlineStr">
        <is>
          <t>B</t>
        </is>
      </c>
      <c r="D4" s="5" t="inlineStr">
        <is>
          <t>Listing Fees</t>
        </is>
      </c>
      <c r="E4" s="5" t="inlineStr">
        <is>
          <t>Front B — 40 listings</t>
        </is>
      </c>
      <c r="F4" s="6" t="n">
        <v>8</v>
      </c>
      <c r="G4" s="5" t="inlineStr">
        <is>
          <t>YES</t>
        </is>
      </c>
      <c r="H4" s="5" t="inlineStr">
        <is>
          <t>NO</t>
        </is>
      </c>
      <c r="I4" s="5" t="inlineStr"/>
    </row>
    <row r="5">
      <c r="A5" s="7" t="inlineStr">
        <is>
          <t>EXP-003</t>
        </is>
      </c>
      <c r="B5" s="7" t="inlineStr">
        <is>
          <t>2026-03-05</t>
        </is>
      </c>
      <c r="C5" s="7" t="inlineStr">
        <is>
          <t>Both</t>
        </is>
      </c>
      <c r="D5" s="7" t="inlineStr">
        <is>
          <t>Subscriptions</t>
        </is>
      </c>
      <c r="E5" s="7" t="inlineStr">
        <is>
          <t>Printify Premium</t>
        </is>
      </c>
      <c r="F5" s="8" t="n">
        <v>29</v>
      </c>
      <c r="G5" s="7" t="inlineStr">
        <is>
          <t>YES</t>
        </is>
      </c>
      <c r="H5" s="7" t="inlineStr">
        <is>
          <t>NO</t>
        </is>
      </c>
      <c r="I5" s="7" t="inlineStr"/>
    </row>
    <row r="6">
      <c r="A6" s="3" t="inlineStr">
        <is>
          <t>EXP-004</t>
        </is>
      </c>
      <c r="B6" s="3" t="inlineStr">
        <is>
          <t>2026-03-05</t>
        </is>
      </c>
      <c r="C6" s="3" t="inlineStr">
        <is>
          <t>A</t>
        </is>
      </c>
      <c r="D6" s="3" t="inlineStr">
        <is>
          <t>Advertising</t>
        </is>
      </c>
      <c r="E6" s="3" t="inlineStr">
        <is>
          <t>Etsy Ads — Front A</t>
        </is>
      </c>
      <c r="F6" s="4" t="n">
        <v>20</v>
      </c>
      <c r="G6" s="3" t="inlineStr">
        <is>
          <t>YES</t>
        </is>
      </c>
      <c r="H6" s="3" t="inlineStr">
        <is>
          <t>NO</t>
        </is>
      </c>
      <c r="I6" s="3" t="inlineStr"/>
    </row>
    <row r="7">
      <c r="A7" s="5" t="inlineStr">
        <is>
          <t>EXP-005</t>
        </is>
      </c>
      <c r="B7" s="5" t="inlineStr">
        <is>
          <t>2026-03-05</t>
        </is>
      </c>
      <c r="C7" s="5" t="inlineStr">
        <is>
          <t>B</t>
        </is>
      </c>
      <c r="D7" s="5" t="inlineStr">
        <is>
          <t>Advertising</t>
        </is>
      </c>
      <c r="E7" s="5" t="inlineStr">
        <is>
          <t>Etsy Ads — Front B</t>
        </is>
      </c>
      <c r="F7" s="6" t="n">
        <v>30</v>
      </c>
      <c r="G7" s="5" t="inlineStr">
        <is>
          <t>YES</t>
        </is>
      </c>
      <c r="H7" s="5" t="inlineStr">
        <is>
          <t>NO</t>
        </is>
      </c>
      <c r="I7" s="5" t="inlineStr"/>
    </row>
    <row r="8">
      <c r="A8" s="3" t="inlineStr">
        <is>
          <t>EXP-006</t>
        </is>
      </c>
      <c r="B8" s="3" t="inlineStr">
        <is>
          <t>2026-03-05</t>
        </is>
      </c>
      <c r="C8" s="3" t="inlineStr">
        <is>
          <t>A</t>
        </is>
      </c>
      <c r="D8" s="3" t="inlineStr">
        <is>
          <t>Samples</t>
        </is>
      </c>
      <c r="E8" s="3" t="inlineStr">
        <is>
          <t>Front A product samples</t>
        </is>
      </c>
      <c r="F8" s="4" t="n">
        <v>45</v>
      </c>
      <c r="G8" s="3" t="inlineStr">
        <is>
          <t>YES</t>
        </is>
      </c>
      <c r="H8" s="3" t="inlineStr">
        <is>
          <t>YES</t>
        </is>
      </c>
      <c r="I8" s="3" t="inlineStr">
        <is>
          <t>Quality check</t>
        </is>
      </c>
    </row>
    <row r="9">
      <c r="A9" s="7" t="inlineStr">
        <is>
          <t>EXP-007</t>
        </is>
      </c>
      <c r="B9" s="7" t="inlineStr">
        <is>
          <t>2026-03-05</t>
        </is>
      </c>
      <c r="C9" s="7" t="inlineStr">
        <is>
          <t>Both</t>
        </is>
      </c>
      <c r="D9" s="7" t="inlineStr">
        <is>
          <t>Software</t>
        </is>
      </c>
      <c r="E9" s="7" t="inlineStr">
        <is>
          <t>Canva Pro</t>
        </is>
      </c>
      <c r="F9" s="8" t="n">
        <v>15</v>
      </c>
      <c r="G9" s="7" t="inlineStr">
        <is>
          <t>YES</t>
        </is>
      </c>
      <c r="H9" s="7" t="inlineStr">
        <is>
          <t>NO</t>
        </is>
      </c>
      <c r="I9" s="7" t="inlineStr"/>
    </row>
    <row r="10">
      <c r="A10" s="5" t="inlineStr">
        <is>
          <t>EXP-008</t>
        </is>
      </c>
      <c r="B10" s="5" t="inlineStr">
        <is>
          <t>2026-03-05</t>
        </is>
      </c>
      <c r="C10" s="5" t="inlineStr">
        <is>
          <t>B</t>
        </is>
      </c>
      <c r="D10" s="5" t="inlineStr">
        <is>
          <t>Software</t>
        </is>
      </c>
      <c r="E10" s="5" t="inlineStr">
        <is>
          <t>Ideogram Pro</t>
        </is>
      </c>
      <c r="F10" s="6" t="n">
        <v>8</v>
      </c>
      <c r="G10" s="5" t="inlineStr">
        <is>
          <t>YES</t>
        </is>
      </c>
      <c r="H10" s="5" t="inlineStr">
        <is>
          <t>NO</t>
        </is>
      </c>
      <c r="I10" s="5" t="inlineStr"/>
    </row>
  </sheetData>
  <mergeCells count="1">
    <mergeCell ref="A1:I1"/>
  </mergeCells>
  <dataValidations count="4">
    <dataValidation sqref="C3:C1000" showDropDown="0" showInputMessage="0" showErrorMessage="0" allowBlank="1" type="list">
      <formula1>"A,B,Both"</formula1>
    </dataValidation>
    <dataValidation sqref="D3:D1000" showDropDown="0" showInputMessage="0" showErrorMessage="0" allowBlank="1" type="list">
      <formula1>"Listing Fees,Advertising,Samples,Subscriptions,Software/Tools,Shipping,Equipment,Education,Other"</formula1>
    </dataValidation>
    <dataValidation sqref="G3:G1000" showDropDown="0" showInputMessage="0" showErrorMessage="0" allowBlank="1" type="list">
      <formula1>"YES,NO,PARTIAL"</formula1>
    </dataValidation>
    <dataValidation sqref="H3:H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3" customWidth="1" min="8" max="8"/>
  </cols>
  <sheetData>
    <row r="1" ht="24" customHeight="1">
      <c r="A1" s="1" t="inlineStr">
        <is>
          <t>📈  ANNUAL P&amp;L — BOTH FRONTS COMBINED</t>
        </is>
      </c>
    </row>
    <row r="2" ht="18" customHeight="1">
      <c r="A2" s="2" t="inlineStr">
        <is>
          <t>Month</t>
        </is>
      </c>
      <c r="B2" s="2" t="inlineStr">
        <is>
          <t>Front A Revenue</t>
        </is>
      </c>
      <c r="C2" s="2" t="inlineStr">
        <is>
          <t>Front B Revenue</t>
        </is>
      </c>
      <c r="D2" s="2" t="inlineStr">
        <is>
          <t>Total Revenue</t>
        </is>
      </c>
      <c r="E2" s="2" t="inlineStr">
        <is>
          <t>Total Costs</t>
        </is>
      </c>
      <c r="F2" s="2" t="inlineStr">
        <is>
          <t>Front A Profit</t>
        </is>
      </c>
      <c r="G2" s="2" t="inlineStr">
        <is>
          <t>Front B Profit</t>
        </is>
      </c>
      <c r="H2" s="2" t="inlineStr">
        <is>
          <t>Net Profit</t>
        </is>
      </c>
    </row>
    <row r="3">
      <c r="A3" s="9" t="inlineStr">
        <is>
          <t>Jan 2026</t>
        </is>
      </c>
      <c r="B3" s="10" t="n">
        <v>0</v>
      </c>
      <c r="C3" s="10" t="n">
        <v>0</v>
      </c>
      <c r="D3" s="10">
        <f>B3+C3</f>
        <v/>
      </c>
      <c r="E3" s="10" t="n">
        <v>0</v>
      </c>
      <c r="F3" s="10" t="n">
        <v>0</v>
      </c>
      <c r="G3" s="10" t="n">
        <v>0</v>
      </c>
      <c r="H3" s="10">
        <f>F3+G3</f>
        <v/>
      </c>
    </row>
    <row r="4">
      <c r="A4" s="7" t="inlineStr">
        <is>
          <t>Feb 2026</t>
        </is>
      </c>
      <c r="B4" s="11" t="n">
        <v>0</v>
      </c>
      <c r="C4" s="11" t="n">
        <v>0</v>
      </c>
      <c r="D4" s="11">
        <f>B4+C4</f>
        <v/>
      </c>
      <c r="E4" s="11" t="n">
        <v>0</v>
      </c>
      <c r="F4" s="11" t="n">
        <v>0</v>
      </c>
      <c r="G4" s="11" t="n">
        <v>0</v>
      </c>
      <c r="H4" s="11">
        <f>F4+G4</f>
        <v/>
      </c>
    </row>
    <row r="5">
      <c r="A5" s="9" t="inlineStr">
        <is>
          <t>Mar 2026</t>
        </is>
      </c>
      <c r="B5" s="10" t="n">
        <v>0</v>
      </c>
      <c r="C5" s="10" t="n">
        <v>0</v>
      </c>
      <c r="D5" s="10">
        <f>B5+C5</f>
        <v/>
      </c>
      <c r="E5" s="10" t="n">
        <v>0</v>
      </c>
      <c r="F5" s="10" t="n">
        <v>0</v>
      </c>
      <c r="G5" s="10" t="n">
        <v>0</v>
      </c>
      <c r="H5" s="10">
        <f>F5+G5</f>
        <v/>
      </c>
    </row>
    <row r="6">
      <c r="A6" s="7" t="inlineStr">
        <is>
          <t>Apr 2026</t>
        </is>
      </c>
      <c r="B6" s="11" t="n">
        <v>0</v>
      </c>
      <c r="C6" s="11" t="n">
        <v>0</v>
      </c>
      <c r="D6" s="11">
        <f>B6+C6</f>
        <v/>
      </c>
      <c r="E6" s="11" t="n">
        <v>0</v>
      </c>
      <c r="F6" s="11" t="n">
        <v>0</v>
      </c>
      <c r="G6" s="11" t="n">
        <v>0</v>
      </c>
      <c r="H6" s="11">
        <f>F6+G6</f>
        <v/>
      </c>
    </row>
    <row r="7">
      <c r="A7" s="9" t="inlineStr">
        <is>
          <t>May 2026</t>
        </is>
      </c>
      <c r="B7" s="10" t="n">
        <v>0</v>
      </c>
      <c r="C7" s="10" t="n">
        <v>0</v>
      </c>
      <c r="D7" s="10">
        <f>B7+C7</f>
        <v/>
      </c>
      <c r="E7" s="10" t="n">
        <v>0</v>
      </c>
      <c r="F7" s="10" t="n">
        <v>0</v>
      </c>
      <c r="G7" s="10" t="n">
        <v>0</v>
      </c>
      <c r="H7" s="10">
        <f>F7+G7</f>
        <v/>
      </c>
    </row>
    <row r="8">
      <c r="A8" s="7" t="inlineStr">
        <is>
          <t>Jun 2026</t>
        </is>
      </c>
      <c r="B8" s="11" t="n">
        <v>0</v>
      </c>
      <c r="C8" s="11" t="n">
        <v>0</v>
      </c>
      <c r="D8" s="11">
        <f>B8+C8</f>
        <v/>
      </c>
      <c r="E8" s="11" t="n">
        <v>0</v>
      </c>
      <c r="F8" s="11" t="n">
        <v>0</v>
      </c>
      <c r="G8" s="11" t="n">
        <v>0</v>
      </c>
      <c r="H8" s="11">
        <f>F8+G8</f>
        <v/>
      </c>
    </row>
    <row r="9">
      <c r="A9" s="9" t="inlineStr">
        <is>
          <t>Jul 2026</t>
        </is>
      </c>
      <c r="B9" s="10" t="n">
        <v>0</v>
      </c>
      <c r="C9" s="10" t="n">
        <v>0</v>
      </c>
      <c r="D9" s="10">
        <f>B9+C9</f>
        <v/>
      </c>
      <c r="E9" s="10" t="n">
        <v>0</v>
      </c>
      <c r="F9" s="10" t="n">
        <v>0</v>
      </c>
      <c r="G9" s="10" t="n">
        <v>0</v>
      </c>
      <c r="H9" s="10">
        <f>F9+G9</f>
        <v/>
      </c>
    </row>
    <row r="10">
      <c r="A10" s="7" t="inlineStr">
        <is>
          <t>Aug 2026</t>
        </is>
      </c>
      <c r="B10" s="11" t="n">
        <v>0</v>
      </c>
      <c r="C10" s="11" t="n">
        <v>0</v>
      </c>
      <c r="D10" s="11">
        <f>B10+C10</f>
        <v/>
      </c>
      <c r="E10" s="11" t="n">
        <v>0</v>
      </c>
      <c r="F10" s="11" t="n">
        <v>0</v>
      </c>
      <c r="G10" s="11" t="n">
        <v>0</v>
      </c>
      <c r="H10" s="11">
        <f>F10+G10</f>
        <v/>
      </c>
    </row>
    <row r="11">
      <c r="A11" s="9" t="inlineStr">
        <is>
          <t>Sep 2026</t>
        </is>
      </c>
      <c r="B11" s="10" t="n">
        <v>0</v>
      </c>
      <c r="C11" s="10" t="n">
        <v>0</v>
      </c>
      <c r="D11" s="10">
        <f>B11+C11</f>
        <v/>
      </c>
      <c r="E11" s="10" t="n">
        <v>0</v>
      </c>
      <c r="F11" s="10" t="n">
        <v>0</v>
      </c>
      <c r="G11" s="10" t="n">
        <v>0</v>
      </c>
      <c r="H11" s="10">
        <f>F11+G11</f>
        <v/>
      </c>
    </row>
    <row r="12">
      <c r="A12" s="7" t="inlineStr">
        <is>
          <t>Oct 2026</t>
        </is>
      </c>
      <c r="B12" s="11" t="n">
        <v>0</v>
      </c>
      <c r="C12" s="11" t="n">
        <v>0</v>
      </c>
      <c r="D12" s="11">
        <f>B12+C12</f>
        <v/>
      </c>
      <c r="E12" s="11" t="n">
        <v>0</v>
      </c>
      <c r="F12" s="11" t="n">
        <v>0</v>
      </c>
      <c r="G12" s="11" t="n">
        <v>0</v>
      </c>
      <c r="H12" s="11">
        <f>F12+G12</f>
        <v/>
      </c>
    </row>
    <row r="13">
      <c r="A13" s="9" t="inlineStr">
        <is>
          <t>Nov 2026</t>
        </is>
      </c>
      <c r="B13" s="10" t="n">
        <v>0</v>
      </c>
      <c r="C13" s="10" t="n">
        <v>0</v>
      </c>
      <c r="D13" s="10">
        <f>B13+C13</f>
        <v/>
      </c>
      <c r="E13" s="10" t="n">
        <v>0</v>
      </c>
      <c r="F13" s="10" t="n">
        <v>0</v>
      </c>
      <c r="G13" s="10" t="n">
        <v>0</v>
      </c>
      <c r="H13" s="10">
        <f>F13+G13</f>
        <v/>
      </c>
    </row>
    <row r="14">
      <c r="A14" s="7" t="inlineStr">
        <is>
          <t>Dec 2026</t>
        </is>
      </c>
      <c r="B14" s="11" t="n">
        <v>0</v>
      </c>
      <c r="C14" s="11" t="n">
        <v>0</v>
      </c>
      <c r="D14" s="11">
        <f>B14+C14</f>
        <v/>
      </c>
      <c r="E14" s="11" t="n">
        <v>0</v>
      </c>
      <c r="F14" s="11" t="n">
        <v>0</v>
      </c>
      <c r="G14" s="11" t="n">
        <v>0</v>
      </c>
      <c r="H14" s="11">
        <f>F14+G14</f>
        <v/>
      </c>
    </row>
    <row r="15">
      <c r="A15" s="12" t="inlineStr">
        <is>
          <t>FULL YEAR</t>
        </is>
      </c>
      <c r="B15" s="13">
        <f>SUM(B3:B14)</f>
        <v/>
      </c>
      <c r="C15" s="13">
        <f>SUM(C3:C14)</f>
        <v/>
      </c>
      <c r="D15" s="13">
        <f>SUM(D3:D14)</f>
        <v/>
      </c>
      <c r="E15" s="13">
        <f>SUM(E3:E14)</f>
        <v/>
      </c>
      <c r="F15" s="13">
        <f>SUM(F3:F14)</f>
        <v/>
      </c>
      <c r="G15" s="13">
        <f>SUM(G3:G14)</f>
        <v/>
      </c>
      <c r="H15" s="13">
        <f>SUM(H3:H14)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4" customHeight="1">
      <c r="A1" s="1" t="inlineStr">
        <is>
          <t>🧮  TAX PREP — Set aside 25-30% of every payout</t>
        </is>
      </c>
    </row>
    <row r="3">
      <c r="A3" s="14" t="inlineStr">
        <is>
          <t>Total Revenue (Year)</t>
        </is>
      </c>
      <c r="B3" s="15">
        <f>'P&amp;L Summary'!D15</f>
        <v/>
      </c>
    </row>
    <row r="4">
      <c r="A4" s="14" t="inlineStr">
        <is>
          <t>Total Deductible Expenses</t>
        </is>
      </c>
      <c r="B4" s="15">
        <f>SUMIF(Expenses!G3:G1000,"YES",Expenses!F3:F1000)</f>
        <v/>
      </c>
    </row>
    <row r="5">
      <c r="A5" s="14" t="inlineStr">
        <is>
          <t>Taxable Income Est.</t>
        </is>
      </c>
      <c r="B5" s="15">
        <f>B3-B4</f>
        <v/>
      </c>
    </row>
    <row r="6">
      <c r="A6" s="14" t="inlineStr">
        <is>
          <t>Tax Set-Aside (28%)</t>
        </is>
      </c>
      <c r="B6" s="15">
        <f>B5*0.28</f>
        <v/>
      </c>
    </row>
    <row r="7">
      <c r="A7" s="14" t="inlineStr">
        <is>
          <t>Actual Tax Paid</t>
        </is>
      </c>
      <c r="B7" s="15" t="n">
        <v>0</v>
      </c>
    </row>
    <row r="8">
      <c r="A8" s="14" t="inlineStr">
        <is>
          <t>Difference</t>
        </is>
      </c>
      <c r="B8" s="15">
        <f>B6-B7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2026-03-05T22:41:47Z</dcterms:modified>
</cp:coreProperties>
</file>