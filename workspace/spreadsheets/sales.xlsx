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onthly 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&quot;-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E8E8F0"/>
      </patternFill>
    </fill>
    <fill>
      <patternFill patternType="solid">
        <fgColor rgb="00F4F6F9"/>
      </patternFill>
    </fill>
    <fill>
      <patternFill patternType="solid">
        <fgColor rgb="00FFFFFF"/>
      </patternFill>
    </fill>
    <fill>
      <patternFill patternType="solid">
        <fgColor rgb="00E8EFF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165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2" customWidth="1" min="4" max="4"/>
    <col width="18" customWidth="1" min="5" max="5"/>
    <col width="30" customWidth="1" min="6" max="6"/>
    <col width="20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5" customWidth="1" min="13" max="13"/>
    <col width="15" customWidth="1" min="14" max="14"/>
    <col width="14" customWidth="1" min="15" max="15"/>
    <col width="14" customWidth="1" min="16" max="16"/>
    <col width="14" customWidth="1" min="17" max="17"/>
    <col width="12" customWidth="1" min="18" max="18"/>
    <col width="18" customWidth="1" min="19" max="19"/>
    <col width="20" customWidth="1" min="20" max="20"/>
  </cols>
  <sheetData>
    <row r="1" ht="24" customHeight="1">
      <c r="A1" s="1" t="inlineStr">
        <is>
          <t>💰  COMBINED SALES TRACKER — BOTH FRONTS</t>
        </is>
      </c>
    </row>
    <row r="2" ht="18" customHeight="1">
      <c r="A2" s="2" t="inlineStr">
        <is>
          <t>Order ID</t>
        </is>
      </c>
      <c r="B2" s="2" t="inlineStr">
        <is>
          <t>Date</t>
        </is>
      </c>
      <c r="C2" s="2" t="inlineStr">
        <is>
          <t>Front</t>
        </is>
      </c>
      <c r="D2" s="2" t="inlineStr">
        <is>
          <t>Drop ID</t>
        </is>
      </c>
      <c r="E2" s="2" t="inlineStr">
        <is>
          <t>Etsy Listing ID</t>
        </is>
      </c>
      <c r="F2" s="2" t="inlineStr">
        <is>
          <t>Product Title</t>
        </is>
      </c>
      <c r="G2" s="2" t="inlineStr">
        <is>
          <t>Niche / Design</t>
        </is>
      </c>
      <c r="H2" s="2" t="inlineStr">
        <is>
          <t>Sale Price ($)</t>
        </is>
      </c>
      <c r="I2" s="2" t="inlineStr">
        <is>
          <t>Shipping Charged</t>
        </is>
      </c>
      <c r="J2" s="2" t="inlineStr">
        <is>
          <t>Printify Cost ($)</t>
        </is>
      </c>
      <c r="K2" s="2" t="inlineStr">
        <is>
          <t>Printify Ship ($)</t>
        </is>
      </c>
      <c r="L2" s="2" t="inlineStr">
        <is>
          <t>Etsy Txn Fee</t>
        </is>
      </c>
      <c r="M2" s="2" t="inlineStr">
        <is>
          <t>Etsy Payment Fee</t>
        </is>
      </c>
      <c r="N2" s="2" t="inlineStr">
        <is>
          <t>Etsy Listing Fee</t>
        </is>
      </c>
      <c r="O2" s="2" t="inlineStr">
        <is>
          <t>Etsy Ads Spend</t>
        </is>
      </c>
      <c r="P2" s="2" t="inlineStr">
        <is>
          <t>Total Costs ($)</t>
        </is>
      </c>
      <c r="Q2" s="2" t="inlineStr">
        <is>
          <t>Net Profit ($)</t>
        </is>
      </c>
      <c r="R2" s="2" t="inlineStr">
        <is>
          <t>Margin %</t>
        </is>
      </c>
      <c r="S2" s="2" t="inlineStr">
        <is>
          <t>UTM Source</t>
        </is>
      </c>
      <c r="T2" s="2" t="inlineStr">
        <is>
          <t>Notes</t>
        </is>
      </c>
    </row>
    <row r="3">
      <c r="A3" s="3" t="inlineStr">
        <is>
          <t>ORD-0001</t>
        </is>
      </c>
      <c r="B3" s="3" t="inlineStr">
        <is>
          <t>2026-03-05</t>
        </is>
      </c>
      <c r="C3" s="3" t="inlineStr">
        <is>
          <t>A</t>
        </is>
      </c>
      <c r="D3" s="3" t="inlineStr">
        <is>
          <t>DROP-01</t>
        </is>
      </c>
      <c r="E3" s="4" t="n"/>
      <c r="F3" s="5" t="inlineStr">
        <is>
          <t>Rotation Ready Shirt | Sneakerhead Tee</t>
        </is>
      </c>
      <c r="G3" s="4" t="inlineStr">
        <is>
          <t>Sneaker Culture</t>
        </is>
      </c>
      <c r="H3" s="6" t="n">
        <v>54.99</v>
      </c>
      <c r="I3" s="7" t="n">
        <v>0</v>
      </c>
      <c r="J3" s="6" t="n">
        <v>14.5</v>
      </c>
      <c r="K3" s="7" t="n">
        <v>5</v>
      </c>
      <c r="L3" s="6">
        <f>H3*0.065</f>
        <v/>
      </c>
      <c r="M3" s="7">
        <f>H3*0.03+0.25</f>
        <v/>
      </c>
      <c r="N3" s="6" t="n">
        <v>0.2</v>
      </c>
      <c r="O3" s="7" t="n">
        <v>0</v>
      </c>
      <c r="P3" s="6">
        <f>J3+K3+L3+M3+N3+O3</f>
        <v/>
      </c>
      <c r="Q3" s="7">
        <f>H3+I3-P3</f>
        <v/>
      </c>
      <c r="R3" s="8">
        <f>IF((H3+I3)&gt;0,Q3/(H3+I3),0)</f>
        <v/>
      </c>
      <c r="S3" s="4" t="inlineStr">
        <is>
          <t>sneakerapp/community_tab</t>
        </is>
      </c>
      <c r="T3" s="5" t="n"/>
    </row>
  </sheetData>
  <mergeCells count="1">
    <mergeCell ref="A1:T1"/>
  </mergeCells>
  <dataValidations count="1">
    <dataValidation sqref="C3:C3000" showDropDown="0" showInputMessage="0" showErrorMessage="0" allowBlank="1" type="list">
      <formula1>"A,B"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14" customWidth="1" min="5" max="5"/>
    <col width="10" customWidth="1" min="6" max="6"/>
    <col width="12" customWidth="1" min="7" max="7"/>
    <col width="22" customWidth="1" min="8" max="8"/>
    <col width="12" customWidth="1" min="9" max="9"/>
  </cols>
  <sheetData>
    <row r="1" ht="24" customHeight="1">
      <c r="A1" s="1" t="inlineStr">
        <is>
          <t>📅  MONTHLY P&amp;L — BY FRONT</t>
        </is>
      </c>
    </row>
    <row r="2">
      <c r="A2" s="9" t="inlineStr">
        <is>
          <t>FRONT A — SNEAKER CULTURE</t>
        </is>
      </c>
    </row>
    <row r="3" ht="18" customHeight="1">
      <c r="A3" s="10" t="inlineStr">
        <is>
          <t>Month</t>
        </is>
      </c>
      <c r="B3" s="10" t="inlineStr">
        <is>
          <t>Orders</t>
        </is>
      </c>
      <c r="C3" s="10" t="inlineStr">
        <is>
          <t>Gross Revenue</t>
        </is>
      </c>
      <c r="D3" s="10" t="inlineStr">
        <is>
          <t>Costs</t>
        </is>
      </c>
      <c r="E3" s="10" t="inlineStr">
        <is>
          <t>Net Profit</t>
        </is>
      </c>
      <c r="F3" s="10" t="inlineStr">
        <is>
          <t>Margin%</t>
        </is>
      </c>
      <c r="G3" s="10" t="inlineStr">
        <is>
          <t>Avg Order</t>
        </is>
      </c>
      <c r="H3" s="10" t="inlineStr">
        <is>
          <t>Best Design</t>
        </is>
      </c>
      <c r="I3" s="10" t="inlineStr">
        <is>
          <t>Drop ID</t>
        </is>
      </c>
    </row>
    <row r="4">
      <c r="A4" s="3" t="inlineStr">
        <is>
          <t>Jan 2026</t>
        </is>
      </c>
      <c r="B4" s="3">
        <f>SUMPRODUCT((MONTH(Orders!B$3:B$3000)=1)*(YEAR(Orders!B$3:B$3000)=2026)*(Orders!C$3:C$3000="A"))</f>
        <v/>
      </c>
      <c r="C4" s="11">
        <f>SUMPRODUCT((MONTH(Orders!B$3:B$3000)=1)*(YEAR(Orders!B$3:B$3000)=2026)*(Orders!C$3:C$3000="A")*Orders!H$3:H$3000)</f>
        <v/>
      </c>
      <c r="D4" s="11">
        <f>SUMPRODUCT((MONTH(Orders!B$3:B$3000)=1)*(YEAR(Orders!B$3:B$3000)=2026)*(Orders!C$3:C$3000="A")*Orders!P$3:P$3000)</f>
        <v/>
      </c>
      <c r="E4" s="11">
        <f>C4-D4</f>
        <v/>
      </c>
      <c r="F4" s="12">
        <f>IF(C4&gt;0,E4/C4,0)</f>
        <v/>
      </c>
      <c r="G4" s="11">
        <f>IF(B4&gt;0,C4/B4,0)</f>
        <v/>
      </c>
      <c r="H4" s="3" t="n"/>
      <c r="I4" s="3" t="n"/>
    </row>
    <row r="5">
      <c r="A5" s="5" t="inlineStr">
        <is>
          <t>Feb 2026</t>
        </is>
      </c>
      <c r="B5" s="5">
        <f>SUMPRODUCT((MONTH(Orders!B$3:B$3000)=2)*(YEAR(Orders!B$3:B$3000)=2026)*(Orders!C$3:C$3000="A"))</f>
        <v/>
      </c>
      <c r="C5" s="6">
        <f>SUMPRODUCT((MONTH(Orders!B$3:B$3000)=2)*(YEAR(Orders!B$3:B$3000)=2026)*(Orders!C$3:C$3000="A")*Orders!H$3:H$3000)</f>
        <v/>
      </c>
      <c r="D5" s="6">
        <f>SUMPRODUCT((MONTH(Orders!B$3:B$3000)=2)*(YEAR(Orders!B$3:B$3000)=2026)*(Orders!C$3:C$3000="A")*Orders!P$3:P$3000)</f>
        <v/>
      </c>
      <c r="E5" s="6">
        <f>C5-D5</f>
        <v/>
      </c>
      <c r="F5" s="8">
        <f>IF(C5&gt;0,E5/C5,0)</f>
        <v/>
      </c>
      <c r="G5" s="6">
        <f>IF(B5&gt;0,C5/B5,0)</f>
        <v/>
      </c>
      <c r="H5" s="5" t="n"/>
      <c r="I5" s="5" t="n"/>
    </row>
    <row r="6">
      <c r="A6" s="3" t="inlineStr">
        <is>
          <t>Mar 2026</t>
        </is>
      </c>
      <c r="B6" s="3">
        <f>SUMPRODUCT((MONTH(Orders!B$3:B$3000)=3)*(YEAR(Orders!B$3:B$3000)=2026)*(Orders!C$3:C$3000="A"))</f>
        <v/>
      </c>
      <c r="C6" s="11">
        <f>SUMPRODUCT((MONTH(Orders!B$3:B$3000)=3)*(YEAR(Orders!B$3:B$3000)=2026)*(Orders!C$3:C$3000="A")*Orders!H$3:H$3000)</f>
        <v/>
      </c>
      <c r="D6" s="11">
        <f>SUMPRODUCT((MONTH(Orders!B$3:B$3000)=3)*(YEAR(Orders!B$3:B$3000)=2026)*(Orders!C$3:C$3000="A")*Orders!P$3:P$3000)</f>
        <v/>
      </c>
      <c r="E6" s="11">
        <f>C6-D6</f>
        <v/>
      </c>
      <c r="F6" s="12">
        <f>IF(C6&gt;0,E6/C6,0)</f>
        <v/>
      </c>
      <c r="G6" s="11">
        <f>IF(B6&gt;0,C6/B6,0)</f>
        <v/>
      </c>
      <c r="H6" s="3" t="n"/>
      <c r="I6" s="3" t="n"/>
    </row>
    <row r="7">
      <c r="A7" s="5" t="inlineStr">
        <is>
          <t>Apr 2026</t>
        </is>
      </c>
      <c r="B7" s="5">
        <f>SUMPRODUCT((MONTH(Orders!B$3:B$3000)=4)*(YEAR(Orders!B$3:B$3000)=2026)*(Orders!C$3:C$3000="A"))</f>
        <v/>
      </c>
      <c r="C7" s="6">
        <f>SUMPRODUCT((MONTH(Orders!B$3:B$3000)=4)*(YEAR(Orders!B$3:B$3000)=2026)*(Orders!C$3:C$3000="A")*Orders!H$3:H$3000)</f>
        <v/>
      </c>
      <c r="D7" s="6">
        <f>SUMPRODUCT((MONTH(Orders!B$3:B$3000)=4)*(YEAR(Orders!B$3:B$3000)=2026)*(Orders!C$3:C$3000="A")*Orders!P$3:P$3000)</f>
        <v/>
      </c>
      <c r="E7" s="6">
        <f>C7-D7</f>
        <v/>
      </c>
      <c r="F7" s="8">
        <f>IF(C7&gt;0,E7/C7,0)</f>
        <v/>
      </c>
      <c r="G7" s="6">
        <f>IF(B7&gt;0,C7/B7,0)</f>
        <v/>
      </c>
      <c r="H7" s="5" t="n"/>
      <c r="I7" s="5" t="n"/>
    </row>
    <row r="8">
      <c r="A8" s="3" t="inlineStr">
        <is>
          <t>May 2026</t>
        </is>
      </c>
      <c r="B8" s="3">
        <f>SUMPRODUCT((MONTH(Orders!B$3:B$3000)=5)*(YEAR(Orders!B$3:B$3000)=2026)*(Orders!C$3:C$3000="A"))</f>
        <v/>
      </c>
      <c r="C8" s="11">
        <f>SUMPRODUCT((MONTH(Orders!B$3:B$3000)=5)*(YEAR(Orders!B$3:B$3000)=2026)*(Orders!C$3:C$3000="A")*Orders!H$3:H$3000)</f>
        <v/>
      </c>
      <c r="D8" s="11">
        <f>SUMPRODUCT((MONTH(Orders!B$3:B$3000)=5)*(YEAR(Orders!B$3:B$3000)=2026)*(Orders!C$3:C$3000="A")*Orders!P$3:P$3000)</f>
        <v/>
      </c>
      <c r="E8" s="11">
        <f>C8-D8</f>
        <v/>
      </c>
      <c r="F8" s="12">
        <f>IF(C8&gt;0,E8/C8,0)</f>
        <v/>
      </c>
      <c r="G8" s="11">
        <f>IF(B8&gt;0,C8/B8,0)</f>
        <v/>
      </c>
      <c r="H8" s="3" t="n"/>
      <c r="I8" s="3" t="n"/>
    </row>
    <row r="9">
      <c r="A9" s="5" t="inlineStr">
        <is>
          <t>Jun 2026</t>
        </is>
      </c>
      <c r="B9" s="5">
        <f>SUMPRODUCT((MONTH(Orders!B$3:B$3000)=6)*(YEAR(Orders!B$3:B$3000)=2026)*(Orders!C$3:C$3000="A"))</f>
        <v/>
      </c>
      <c r="C9" s="6">
        <f>SUMPRODUCT((MONTH(Orders!B$3:B$3000)=6)*(YEAR(Orders!B$3:B$3000)=2026)*(Orders!C$3:C$3000="A")*Orders!H$3:H$3000)</f>
        <v/>
      </c>
      <c r="D9" s="6">
        <f>SUMPRODUCT((MONTH(Orders!B$3:B$3000)=6)*(YEAR(Orders!B$3:B$3000)=2026)*(Orders!C$3:C$3000="A")*Orders!P$3:P$3000)</f>
        <v/>
      </c>
      <c r="E9" s="6">
        <f>C9-D9</f>
        <v/>
      </c>
      <c r="F9" s="8">
        <f>IF(C9&gt;0,E9/C9,0)</f>
        <v/>
      </c>
      <c r="G9" s="6">
        <f>IF(B9&gt;0,C9/B9,0)</f>
        <v/>
      </c>
      <c r="H9" s="5" t="n"/>
      <c r="I9" s="5" t="n"/>
    </row>
    <row r="10">
      <c r="A10" s="3" t="inlineStr">
        <is>
          <t>Jul 2026</t>
        </is>
      </c>
      <c r="B10" s="3">
        <f>SUMPRODUCT((MONTH(Orders!B$3:B$3000)=7)*(YEAR(Orders!B$3:B$3000)=2026)*(Orders!C$3:C$3000="A"))</f>
        <v/>
      </c>
      <c r="C10" s="11">
        <f>SUMPRODUCT((MONTH(Orders!B$3:B$3000)=7)*(YEAR(Orders!B$3:B$3000)=2026)*(Orders!C$3:C$3000="A")*Orders!H$3:H$3000)</f>
        <v/>
      </c>
      <c r="D10" s="11">
        <f>SUMPRODUCT((MONTH(Orders!B$3:B$3000)=7)*(YEAR(Orders!B$3:B$3000)=2026)*(Orders!C$3:C$3000="A")*Orders!P$3:P$3000)</f>
        <v/>
      </c>
      <c r="E10" s="11">
        <f>C10-D10</f>
        <v/>
      </c>
      <c r="F10" s="12">
        <f>IF(C10&gt;0,E10/C10,0)</f>
        <v/>
      </c>
      <c r="G10" s="11">
        <f>IF(B10&gt;0,C10/B10,0)</f>
        <v/>
      </c>
      <c r="H10" s="3" t="n"/>
      <c r="I10" s="3" t="n"/>
    </row>
    <row r="11">
      <c r="A11" s="5" t="inlineStr">
        <is>
          <t>Aug 2026</t>
        </is>
      </c>
      <c r="B11" s="5">
        <f>SUMPRODUCT((MONTH(Orders!B$3:B$3000)=8)*(YEAR(Orders!B$3:B$3000)=2026)*(Orders!C$3:C$3000="A"))</f>
        <v/>
      </c>
      <c r="C11" s="6">
        <f>SUMPRODUCT((MONTH(Orders!B$3:B$3000)=8)*(YEAR(Orders!B$3:B$3000)=2026)*(Orders!C$3:C$3000="A")*Orders!H$3:H$3000)</f>
        <v/>
      </c>
      <c r="D11" s="6">
        <f>SUMPRODUCT((MONTH(Orders!B$3:B$3000)=8)*(YEAR(Orders!B$3:B$3000)=2026)*(Orders!C$3:C$3000="A")*Orders!P$3:P$3000)</f>
        <v/>
      </c>
      <c r="E11" s="6">
        <f>C11-D11</f>
        <v/>
      </c>
      <c r="F11" s="8">
        <f>IF(C11&gt;0,E11/C11,0)</f>
        <v/>
      </c>
      <c r="G11" s="6">
        <f>IF(B11&gt;0,C11/B11,0)</f>
        <v/>
      </c>
      <c r="H11" s="5" t="n"/>
      <c r="I11" s="5" t="n"/>
    </row>
    <row r="12">
      <c r="A12" s="3" t="inlineStr">
        <is>
          <t>Sep 2026</t>
        </is>
      </c>
      <c r="B12" s="3">
        <f>SUMPRODUCT((MONTH(Orders!B$3:B$3000)=9)*(YEAR(Orders!B$3:B$3000)=2026)*(Orders!C$3:C$3000="A"))</f>
        <v/>
      </c>
      <c r="C12" s="11">
        <f>SUMPRODUCT((MONTH(Orders!B$3:B$3000)=9)*(YEAR(Orders!B$3:B$3000)=2026)*(Orders!C$3:C$3000="A")*Orders!H$3:H$3000)</f>
        <v/>
      </c>
      <c r="D12" s="11">
        <f>SUMPRODUCT((MONTH(Orders!B$3:B$3000)=9)*(YEAR(Orders!B$3:B$3000)=2026)*(Orders!C$3:C$3000="A")*Orders!P$3:P$3000)</f>
        <v/>
      </c>
      <c r="E12" s="11">
        <f>C12-D12</f>
        <v/>
      </c>
      <c r="F12" s="12">
        <f>IF(C12&gt;0,E12/C12,0)</f>
        <v/>
      </c>
      <c r="G12" s="11">
        <f>IF(B12&gt;0,C12/B12,0)</f>
        <v/>
      </c>
      <c r="H12" s="3" t="n"/>
      <c r="I12" s="3" t="n"/>
    </row>
    <row r="13">
      <c r="A13" s="5" t="inlineStr">
        <is>
          <t>Oct 2026</t>
        </is>
      </c>
      <c r="B13" s="5">
        <f>SUMPRODUCT((MONTH(Orders!B$3:B$3000)=10)*(YEAR(Orders!B$3:B$3000)=2026)*(Orders!C$3:C$3000="A"))</f>
        <v/>
      </c>
      <c r="C13" s="6">
        <f>SUMPRODUCT((MONTH(Orders!B$3:B$3000)=10)*(YEAR(Orders!B$3:B$3000)=2026)*(Orders!C$3:C$3000="A")*Orders!H$3:H$3000)</f>
        <v/>
      </c>
      <c r="D13" s="6">
        <f>SUMPRODUCT((MONTH(Orders!B$3:B$3000)=10)*(YEAR(Orders!B$3:B$3000)=2026)*(Orders!C$3:C$3000="A")*Orders!P$3:P$3000)</f>
        <v/>
      </c>
      <c r="E13" s="6">
        <f>C13-D13</f>
        <v/>
      </c>
      <c r="F13" s="8">
        <f>IF(C13&gt;0,E13/C13,0)</f>
        <v/>
      </c>
      <c r="G13" s="6">
        <f>IF(B13&gt;0,C13/B13,0)</f>
        <v/>
      </c>
      <c r="H13" s="5" t="n"/>
      <c r="I13" s="5" t="n"/>
    </row>
    <row r="14">
      <c r="A14" s="3" t="inlineStr">
        <is>
          <t>Nov 2026</t>
        </is>
      </c>
      <c r="B14" s="3">
        <f>SUMPRODUCT((MONTH(Orders!B$3:B$3000)=11)*(YEAR(Orders!B$3:B$3000)=2026)*(Orders!C$3:C$3000="A"))</f>
        <v/>
      </c>
      <c r="C14" s="11">
        <f>SUMPRODUCT((MONTH(Orders!B$3:B$3000)=11)*(YEAR(Orders!B$3:B$3000)=2026)*(Orders!C$3:C$3000="A")*Orders!H$3:H$3000)</f>
        <v/>
      </c>
      <c r="D14" s="11">
        <f>SUMPRODUCT((MONTH(Orders!B$3:B$3000)=11)*(YEAR(Orders!B$3:B$3000)=2026)*(Orders!C$3:C$3000="A")*Orders!P$3:P$3000)</f>
        <v/>
      </c>
      <c r="E14" s="11">
        <f>C14-D14</f>
        <v/>
      </c>
      <c r="F14" s="12">
        <f>IF(C14&gt;0,E14/C14,0)</f>
        <v/>
      </c>
      <c r="G14" s="11">
        <f>IF(B14&gt;0,C14/B14,0)</f>
        <v/>
      </c>
      <c r="H14" s="3" t="n"/>
      <c r="I14" s="3" t="n"/>
    </row>
    <row r="15">
      <c r="A15" s="5" t="inlineStr">
        <is>
          <t>Dec 2026</t>
        </is>
      </c>
      <c r="B15" s="5">
        <f>SUMPRODUCT((MONTH(Orders!B$3:B$3000)=12)*(YEAR(Orders!B$3:B$3000)=2026)*(Orders!C$3:C$3000="A"))</f>
        <v/>
      </c>
      <c r="C15" s="6">
        <f>SUMPRODUCT((MONTH(Orders!B$3:B$3000)=12)*(YEAR(Orders!B$3:B$3000)=2026)*(Orders!C$3:C$3000="A")*Orders!H$3:H$3000)</f>
        <v/>
      </c>
      <c r="D15" s="6">
        <f>SUMPRODUCT((MONTH(Orders!B$3:B$3000)=12)*(YEAR(Orders!B$3:B$3000)=2026)*(Orders!C$3:C$3000="A")*Orders!P$3:P$3000)</f>
        <v/>
      </c>
      <c r="E15" s="6">
        <f>C15-D15</f>
        <v/>
      </c>
      <c r="F15" s="8">
        <f>IF(C15&gt;0,E15/C15,0)</f>
        <v/>
      </c>
      <c r="G15" s="6">
        <f>IF(B15&gt;0,C15/B15,0)</f>
        <v/>
      </c>
      <c r="H15" s="5" t="n"/>
      <c r="I15" s="5" t="n"/>
    </row>
    <row r="18">
      <c r="A18" s="13" t="inlineStr">
        <is>
          <t>FRONT B — GENERALIZED DESIGNS</t>
        </is>
      </c>
    </row>
    <row r="19" ht="18" customHeight="1">
      <c r="A19" s="2" t="inlineStr">
        <is>
          <t>Month</t>
        </is>
      </c>
      <c r="B19" s="2" t="inlineStr">
        <is>
          <t>Orders</t>
        </is>
      </c>
      <c r="C19" s="2" t="inlineStr">
        <is>
          <t>Gross Revenue</t>
        </is>
      </c>
      <c r="D19" s="2" t="inlineStr">
        <is>
          <t>Costs</t>
        </is>
      </c>
      <c r="E19" s="2" t="inlineStr">
        <is>
          <t>Net Profit</t>
        </is>
      </c>
      <c r="F19" s="2" t="inlineStr">
        <is>
          <t>Margin%</t>
        </is>
      </c>
      <c r="G19" s="2" t="inlineStr">
        <is>
          <t>Avg Order</t>
        </is>
      </c>
      <c r="H19" s="2" t="inlineStr">
        <is>
          <t>Best Design</t>
        </is>
      </c>
      <c r="I19" s="2" t="inlineStr">
        <is>
          <t>Drop ID</t>
        </is>
      </c>
    </row>
    <row r="20">
      <c r="A20" s="14" t="inlineStr">
        <is>
          <t>Jan 2026</t>
        </is>
      </c>
      <c r="B20" s="14">
        <f>SUMPRODUCT((MONTH(Orders!B$3:B$3000)=1)*(YEAR(Orders!B$3:B$3000)=2026)*(Orders!C$3:C$3000="B"))</f>
        <v/>
      </c>
      <c r="C20" s="15">
        <f>SUMPRODUCT((MONTH(Orders!B$3:B$3000)=1)*(YEAR(Orders!B$3:B$3000)=2026)*(Orders!C$3:C$3000="B")*Orders!H$3:H$3000)</f>
        <v/>
      </c>
      <c r="D20" s="15">
        <f>SUMPRODUCT((MONTH(Orders!B$3:B$3000)=1)*(YEAR(Orders!B$3:B$3000)=2026)*(Orders!C$3:C$3000="B")*Orders!P$3:P$3000)</f>
        <v/>
      </c>
      <c r="E20" s="15">
        <f>C20-D20</f>
        <v/>
      </c>
      <c r="F20" s="16">
        <f>IF(C20&gt;0,E20/C20,0)</f>
        <v/>
      </c>
      <c r="G20" s="15">
        <f>IF(B20&gt;0,C20/B20,0)</f>
        <v/>
      </c>
      <c r="H20" s="14" t="n"/>
      <c r="I20" s="14" t="n"/>
    </row>
    <row r="21">
      <c r="A21" s="5" t="inlineStr">
        <is>
          <t>Feb 2026</t>
        </is>
      </c>
      <c r="B21" s="5">
        <f>SUMPRODUCT((MONTH(Orders!B$3:B$3000)=2)*(YEAR(Orders!B$3:B$3000)=2026)*(Orders!C$3:C$3000="B"))</f>
        <v/>
      </c>
      <c r="C21" s="6">
        <f>SUMPRODUCT((MONTH(Orders!B$3:B$3000)=2)*(YEAR(Orders!B$3:B$3000)=2026)*(Orders!C$3:C$3000="B")*Orders!H$3:H$3000)</f>
        <v/>
      </c>
      <c r="D21" s="6">
        <f>SUMPRODUCT((MONTH(Orders!B$3:B$3000)=2)*(YEAR(Orders!B$3:B$3000)=2026)*(Orders!C$3:C$3000="B")*Orders!P$3:P$3000)</f>
        <v/>
      </c>
      <c r="E21" s="6">
        <f>C21-D21</f>
        <v/>
      </c>
      <c r="F21" s="8">
        <f>IF(C21&gt;0,E21/C21,0)</f>
        <v/>
      </c>
      <c r="G21" s="6">
        <f>IF(B21&gt;0,C21/B21,0)</f>
        <v/>
      </c>
      <c r="H21" s="5" t="n"/>
      <c r="I21" s="5" t="n"/>
    </row>
    <row r="22">
      <c r="A22" s="14" t="inlineStr">
        <is>
          <t>Mar 2026</t>
        </is>
      </c>
      <c r="B22" s="14">
        <f>SUMPRODUCT((MONTH(Orders!B$3:B$3000)=3)*(YEAR(Orders!B$3:B$3000)=2026)*(Orders!C$3:C$3000="B"))</f>
        <v/>
      </c>
      <c r="C22" s="15">
        <f>SUMPRODUCT((MONTH(Orders!B$3:B$3000)=3)*(YEAR(Orders!B$3:B$3000)=2026)*(Orders!C$3:C$3000="B")*Orders!H$3:H$3000)</f>
        <v/>
      </c>
      <c r="D22" s="15">
        <f>SUMPRODUCT((MONTH(Orders!B$3:B$3000)=3)*(YEAR(Orders!B$3:B$3000)=2026)*(Orders!C$3:C$3000="B")*Orders!P$3:P$3000)</f>
        <v/>
      </c>
      <c r="E22" s="15">
        <f>C22-D22</f>
        <v/>
      </c>
      <c r="F22" s="16">
        <f>IF(C22&gt;0,E22/C22,0)</f>
        <v/>
      </c>
      <c r="G22" s="15">
        <f>IF(B22&gt;0,C22/B22,0)</f>
        <v/>
      </c>
      <c r="H22" s="14" t="n"/>
      <c r="I22" s="14" t="n"/>
    </row>
    <row r="23">
      <c r="A23" s="5" t="inlineStr">
        <is>
          <t>Apr 2026</t>
        </is>
      </c>
      <c r="B23" s="5">
        <f>SUMPRODUCT((MONTH(Orders!B$3:B$3000)=4)*(YEAR(Orders!B$3:B$3000)=2026)*(Orders!C$3:C$3000="B"))</f>
        <v/>
      </c>
      <c r="C23" s="6">
        <f>SUMPRODUCT((MONTH(Orders!B$3:B$3000)=4)*(YEAR(Orders!B$3:B$3000)=2026)*(Orders!C$3:C$3000="B")*Orders!H$3:H$3000)</f>
        <v/>
      </c>
      <c r="D23" s="6">
        <f>SUMPRODUCT((MONTH(Orders!B$3:B$3000)=4)*(YEAR(Orders!B$3:B$3000)=2026)*(Orders!C$3:C$3000="B")*Orders!P$3:P$3000)</f>
        <v/>
      </c>
      <c r="E23" s="6">
        <f>C23-D23</f>
        <v/>
      </c>
      <c r="F23" s="8">
        <f>IF(C23&gt;0,E23/C23,0)</f>
        <v/>
      </c>
      <c r="G23" s="6">
        <f>IF(B23&gt;0,C23/B23,0)</f>
        <v/>
      </c>
      <c r="H23" s="5" t="n"/>
      <c r="I23" s="5" t="n"/>
    </row>
    <row r="24">
      <c r="A24" s="14" t="inlineStr">
        <is>
          <t>May 2026</t>
        </is>
      </c>
      <c r="B24" s="14">
        <f>SUMPRODUCT((MONTH(Orders!B$3:B$3000)=5)*(YEAR(Orders!B$3:B$3000)=2026)*(Orders!C$3:C$3000="B"))</f>
        <v/>
      </c>
      <c r="C24" s="15">
        <f>SUMPRODUCT((MONTH(Orders!B$3:B$3000)=5)*(YEAR(Orders!B$3:B$3000)=2026)*(Orders!C$3:C$3000="B")*Orders!H$3:H$3000)</f>
        <v/>
      </c>
      <c r="D24" s="15">
        <f>SUMPRODUCT((MONTH(Orders!B$3:B$3000)=5)*(YEAR(Orders!B$3:B$3000)=2026)*(Orders!C$3:C$3000="B")*Orders!P$3:P$3000)</f>
        <v/>
      </c>
      <c r="E24" s="15">
        <f>C24-D24</f>
        <v/>
      </c>
      <c r="F24" s="16">
        <f>IF(C24&gt;0,E24/C24,0)</f>
        <v/>
      </c>
      <c r="G24" s="15">
        <f>IF(B24&gt;0,C24/B24,0)</f>
        <v/>
      </c>
      <c r="H24" s="14" t="n"/>
      <c r="I24" s="14" t="n"/>
    </row>
    <row r="25">
      <c r="A25" s="5" t="inlineStr">
        <is>
          <t>Jun 2026</t>
        </is>
      </c>
      <c r="B25" s="5">
        <f>SUMPRODUCT((MONTH(Orders!B$3:B$3000)=6)*(YEAR(Orders!B$3:B$3000)=2026)*(Orders!C$3:C$3000="B"))</f>
        <v/>
      </c>
      <c r="C25" s="6">
        <f>SUMPRODUCT((MONTH(Orders!B$3:B$3000)=6)*(YEAR(Orders!B$3:B$3000)=2026)*(Orders!C$3:C$3000="B")*Orders!H$3:H$3000)</f>
        <v/>
      </c>
      <c r="D25" s="6">
        <f>SUMPRODUCT((MONTH(Orders!B$3:B$3000)=6)*(YEAR(Orders!B$3:B$3000)=2026)*(Orders!C$3:C$3000="B")*Orders!P$3:P$3000)</f>
        <v/>
      </c>
      <c r="E25" s="6">
        <f>C25-D25</f>
        <v/>
      </c>
      <c r="F25" s="8">
        <f>IF(C25&gt;0,E25/C25,0)</f>
        <v/>
      </c>
      <c r="G25" s="6">
        <f>IF(B25&gt;0,C25/B25,0)</f>
        <v/>
      </c>
      <c r="H25" s="5" t="n"/>
      <c r="I25" s="5" t="n"/>
    </row>
    <row r="26">
      <c r="A26" s="14" t="inlineStr">
        <is>
          <t>Jul 2026</t>
        </is>
      </c>
      <c r="B26" s="14">
        <f>SUMPRODUCT((MONTH(Orders!B$3:B$3000)=7)*(YEAR(Orders!B$3:B$3000)=2026)*(Orders!C$3:C$3000="B"))</f>
        <v/>
      </c>
      <c r="C26" s="15">
        <f>SUMPRODUCT((MONTH(Orders!B$3:B$3000)=7)*(YEAR(Orders!B$3:B$3000)=2026)*(Orders!C$3:C$3000="B")*Orders!H$3:H$3000)</f>
        <v/>
      </c>
      <c r="D26" s="15">
        <f>SUMPRODUCT((MONTH(Orders!B$3:B$3000)=7)*(YEAR(Orders!B$3:B$3000)=2026)*(Orders!C$3:C$3000="B")*Orders!P$3:P$3000)</f>
        <v/>
      </c>
      <c r="E26" s="15">
        <f>C26-D26</f>
        <v/>
      </c>
      <c r="F26" s="16">
        <f>IF(C26&gt;0,E26/C26,0)</f>
        <v/>
      </c>
      <c r="G26" s="15">
        <f>IF(B26&gt;0,C26/B26,0)</f>
        <v/>
      </c>
      <c r="H26" s="14" t="n"/>
      <c r="I26" s="14" t="n"/>
    </row>
    <row r="27">
      <c r="A27" s="5" t="inlineStr">
        <is>
          <t>Aug 2026</t>
        </is>
      </c>
      <c r="B27" s="5">
        <f>SUMPRODUCT((MONTH(Orders!B$3:B$3000)=8)*(YEAR(Orders!B$3:B$3000)=2026)*(Orders!C$3:C$3000="B"))</f>
        <v/>
      </c>
      <c r="C27" s="6">
        <f>SUMPRODUCT((MONTH(Orders!B$3:B$3000)=8)*(YEAR(Orders!B$3:B$3000)=2026)*(Orders!C$3:C$3000="B")*Orders!H$3:H$3000)</f>
        <v/>
      </c>
      <c r="D27" s="6">
        <f>SUMPRODUCT((MONTH(Orders!B$3:B$3000)=8)*(YEAR(Orders!B$3:B$3000)=2026)*(Orders!C$3:C$3000="B")*Orders!P$3:P$3000)</f>
        <v/>
      </c>
      <c r="E27" s="6">
        <f>C27-D27</f>
        <v/>
      </c>
      <c r="F27" s="8">
        <f>IF(C27&gt;0,E27/C27,0)</f>
        <v/>
      </c>
      <c r="G27" s="6">
        <f>IF(B27&gt;0,C27/B27,0)</f>
        <v/>
      </c>
      <c r="H27" s="5" t="n"/>
      <c r="I27" s="5" t="n"/>
    </row>
    <row r="28">
      <c r="A28" s="14" t="inlineStr">
        <is>
          <t>Sep 2026</t>
        </is>
      </c>
      <c r="B28" s="14">
        <f>SUMPRODUCT((MONTH(Orders!B$3:B$3000)=9)*(YEAR(Orders!B$3:B$3000)=2026)*(Orders!C$3:C$3000="B"))</f>
        <v/>
      </c>
      <c r="C28" s="15">
        <f>SUMPRODUCT((MONTH(Orders!B$3:B$3000)=9)*(YEAR(Orders!B$3:B$3000)=2026)*(Orders!C$3:C$3000="B")*Orders!H$3:H$3000)</f>
        <v/>
      </c>
      <c r="D28" s="15">
        <f>SUMPRODUCT((MONTH(Orders!B$3:B$3000)=9)*(YEAR(Orders!B$3:B$3000)=2026)*(Orders!C$3:C$3000="B")*Orders!P$3:P$3000)</f>
        <v/>
      </c>
      <c r="E28" s="15">
        <f>C28-D28</f>
        <v/>
      </c>
      <c r="F28" s="16">
        <f>IF(C28&gt;0,E28/C28,0)</f>
        <v/>
      </c>
      <c r="G28" s="15">
        <f>IF(B28&gt;0,C28/B28,0)</f>
        <v/>
      </c>
      <c r="H28" s="14" t="n"/>
      <c r="I28" s="14" t="n"/>
    </row>
    <row r="29">
      <c r="A29" s="5" t="inlineStr">
        <is>
          <t>Oct 2026</t>
        </is>
      </c>
      <c r="B29" s="5">
        <f>SUMPRODUCT((MONTH(Orders!B$3:B$3000)=10)*(YEAR(Orders!B$3:B$3000)=2026)*(Orders!C$3:C$3000="B"))</f>
        <v/>
      </c>
      <c r="C29" s="6">
        <f>SUMPRODUCT((MONTH(Orders!B$3:B$3000)=10)*(YEAR(Orders!B$3:B$3000)=2026)*(Orders!C$3:C$3000="B")*Orders!H$3:H$3000)</f>
        <v/>
      </c>
      <c r="D29" s="6">
        <f>SUMPRODUCT((MONTH(Orders!B$3:B$3000)=10)*(YEAR(Orders!B$3:B$3000)=2026)*(Orders!C$3:C$3000="B")*Orders!P$3:P$3000)</f>
        <v/>
      </c>
      <c r="E29" s="6">
        <f>C29-D29</f>
        <v/>
      </c>
      <c r="F29" s="8">
        <f>IF(C29&gt;0,E29/C29,0)</f>
        <v/>
      </c>
      <c r="G29" s="6">
        <f>IF(B29&gt;0,C29/B29,0)</f>
        <v/>
      </c>
      <c r="H29" s="5" t="n"/>
      <c r="I29" s="5" t="n"/>
    </row>
    <row r="30">
      <c r="A30" s="14" t="inlineStr">
        <is>
          <t>Nov 2026</t>
        </is>
      </c>
      <c r="B30" s="14">
        <f>SUMPRODUCT((MONTH(Orders!B$3:B$3000)=11)*(YEAR(Orders!B$3:B$3000)=2026)*(Orders!C$3:C$3000="B"))</f>
        <v/>
      </c>
      <c r="C30" s="15">
        <f>SUMPRODUCT((MONTH(Orders!B$3:B$3000)=11)*(YEAR(Orders!B$3:B$3000)=2026)*(Orders!C$3:C$3000="B")*Orders!H$3:H$3000)</f>
        <v/>
      </c>
      <c r="D30" s="15">
        <f>SUMPRODUCT((MONTH(Orders!B$3:B$3000)=11)*(YEAR(Orders!B$3:B$3000)=2026)*(Orders!C$3:C$3000="B")*Orders!P$3:P$3000)</f>
        <v/>
      </c>
      <c r="E30" s="15">
        <f>C30-D30</f>
        <v/>
      </c>
      <c r="F30" s="16">
        <f>IF(C30&gt;0,E30/C30,0)</f>
        <v/>
      </c>
      <c r="G30" s="15">
        <f>IF(B30&gt;0,C30/B30,0)</f>
        <v/>
      </c>
      <c r="H30" s="14" t="n"/>
      <c r="I30" s="14" t="n"/>
    </row>
    <row r="31">
      <c r="A31" s="5" t="inlineStr">
        <is>
          <t>Dec 2026</t>
        </is>
      </c>
      <c r="B31" s="5">
        <f>SUMPRODUCT((MONTH(Orders!B$3:B$3000)=12)*(YEAR(Orders!B$3:B$3000)=2026)*(Orders!C$3:C$3000="B"))</f>
        <v/>
      </c>
      <c r="C31" s="6">
        <f>SUMPRODUCT((MONTH(Orders!B$3:B$3000)=12)*(YEAR(Orders!B$3:B$3000)=2026)*(Orders!C$3:C$3000="B")*Orders!H$3:H$3000)</f>
        <v/>
      </c>
      <c r="D31" s="6">
        <f>SUMPRODUCT((MONTH(Orders!B$3:B$3000)=12)*(YEAR(Orders!B$3:B$3000)=2026)*(Orders!C$3:C$3000="B")*Orders!P$3:P$3000)</f>
        <v/>
      </c>
      <c r="E31" s="6">
        <f>C31-D31</f>
        <v/>
      </c>
      <c r="F31" s="8">
        <f>IF(C31&gt;0,E31/C31,0)</f>
        <v/>
      </c>
      <c r="G31" s="6">
        <f>IF(B31&gt;0,C31/B31,0)</f>
        <v/>
      </c>
      <c r="H31" s="5" t="n"/>
      <c r="I31" s="5" t="n"/>
    </row>
  </sheetData>
  <mergeCells count="3">
    <mergeCell ref="A1:I1"/>
    <mergeCell ref="A18:I18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2026-03-05T22:41:47Z</dcterms:created>
  <dcterms:modified xmlns:dcterms="http://purl.org/dc/terms/" xmlns:xsi="http://www.w3.org/2001/XMLSchema-instance" xsi:type="dcterms:W3CDTF">2026-03-05T22:41:47Z</dcterms:modified>
</cp:coreProperties>
</file>